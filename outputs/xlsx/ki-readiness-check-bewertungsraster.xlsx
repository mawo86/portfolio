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ozesse" sheetId="2" state="visible" r:id="rId2"/>
    <sheet name="Bewer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1110"/>
      <sz val="18"/>
    </font>
    <font>
      <name val="Calibri"/>
      <i val="1"/>
      <color rgb="006B6459"/>
      <sz val="10"/>
    </font>
    <font>
      <name val="Calibri"/>
      <b val="1"/>
      <color rgb="00121110"/>
      <sz val="13"/>
    </font>
    <font>
      <name val="Calibri"/>
      <b val="1"/>
      <color rgb="00121110"/>
      <sz val="11"/>
    </font>
    <font>
      <name val="Calibri"/>
      <color rgb="00121110"/>
      <sz val="11"/>
    </font>
    <font>
      <name val="Calibri"/>
      <b val="1"/>
      <color rgb="00F5F1EA"/>
      <sz val="10"/>
    </font>
    <font>
      <name val="Calibri"/>
      <i val="1"/>
      <color rgb="00121110"/>
      <sz val="11"/>
    </font>
  </fonts>
  <fills count="3">
    <fill>
      <patternFill/>
    </fill>
    <fill>
      <patternFill patternType="gray125"/>
    </fill>
    <fill>
      <patternFill patternType="solid">
        <fgColor rgb="00121110"/>
      </patternFill>
    </fill>
  </fills>
  <borders count="2">
    <border>
      <left/>
      <right/>
      <top/>
      <bottom/>
      <diagonal/>
    </border>
    <border>
      <left style="thin">
        <color rgb="00E3DFD5"/>
      </left>
      <right style="thin">
        <color rgb="00E3DFD5"/>
      </right>
      <top style="thin">
        <color rgb="00E3DFD5"/>
      </top>
      <bottom style="thin">
        <color rgb="00E3DF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D7EAD9"/>
        </patternFill>
      </fill>
    </dxf>
    <dxf>
      <fill>
        <patternFill patternType="solid">
          <fgColor rgb="00FBF0D2"/>
        </patternFill>
      </fill>
    </dxf>
    <dxf>
      <fill>
        <patternFill patternType="solid">
          <fgColor rgb="00F5D9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Priorisierungs-Matrix: Automatisierbarkeit × Umsetzbarkeit (Größe = Score)</a:t>
            </a:r>
          </a:p>
        </rich>
      </tx>
    </title>
    <plotArea>
      <bubbleChart>
        <varyColors val="0"/>
        <ser>
          <idx val="0"/>
          <order val="0"/>
          <tx>
            <strRef>
              <f>Bewertung!$A$3</f>
            </strRef>
          </tx>
          <spPr>
            <a:solidFill>
              <a:srgbClr val="E08A1E"/>
            </a:solidFill>
            <a:ln>
              <a:prstDash val="solid"/>
            </a:ln>
          </spPr>
          <xVal>
            <numRef>
              <f>'Bewertung'!$E$3</f>
            </numRef>
          </xVal>
          <yVal>
            <numRef>
              <f>'Bewertung'!$F$3</f>
            </numRef>
          </yVal>
          <bubbleSize>
            <numRef>
              <f>'Bewertung'!$G$3</f>
            </numRef>
          </bubbleSize>
          <bubble3D val="0"/>
        </ser>
        <ser>
          <idx val="1"/>
          <order val="1"/>
          <tx>
            <strRef>
              <f>Bewertung!$A$4</f>
            </strRef>
          </tx>
          <spPr>
            <a:solidFill>
              <a:srgbClr val="121110"/>
            </a:solidFill>
            <a:ln>
              <a:prstDash val="solid"/>
            </a:ln>
          </spPr>
          <xVal>
            <numRef>
              <f>'Bewertung'!$E$4</f>
            </numRef>
          </xVal>
          <yVal>
            <numRef>
              <f>'Bewertung'!$F$4</f>
            </numRef>
          </yVal>
          <bubbleSize>
            <numRef>
              <f>'Bewertung'!$G$4</f>
            </numRef>
          </bubbleSize>
          <bubble3D val="0"/>
        </ser>
        <ser>
          <idx val="2"/>
          <order val="2"/>
          <tx>
            <strRef>
              <f>Bewertung!$A$5</f>
            </strRef>
          </tx>
          <spPr>
            <a:solidFill>
              <a:srgbClr val="8A6D3B"/>
            </a:solidFill>
            <a:ln>
              <a:prstDash val="solid"/>
            </a:ln>
          </spPr>
          <xVal>
            <numRef>
              <f>'Bewertung'!$E$5</f>
            </numRef>
          </xVal>
          <yVal>
            <numRef>
              <f>'Bewertung'!$F$5</f>
            </numRef>
          </yVal>
          <bubbleSize>
            <numRef>
              <f>'Bewertung'!$G$5</f>
            </numRef>
          </bubbleSize>
          <bubble3D val="0"/>
        </ser>
        <ser>
          <idx val="3"/>
          <order val="3"/>
          <tx>
            <strRef>
              <f>Bewertung!$A$6</f>
            </strRef>
          </tx>
          <spPr>
            <a:solidFill>
              <a:srgbClr val="4A4640"/>
            </a:solidFill>
            <a:ln>
              <a:prstDash val="solid"/>
            </a:ln>
          </spPr>
          <xVal>
            <numRef>
              <f>'Bewertung'!$E$6</f>
            </numRef>
          </xVal>
          <yVal>
            <numRef>
              <f>'Bewertung'!$F$6</f>
            </numRef>
          </yVal>
          <bubbleSize>
            <numRef>
              <f>'Bewertung'!$G$6</f>
            </numRef>
          </bubbleSize>
          <bubble3D val="0"/>
        </ser>
        <ser>
          <idx val="4"/>
          <order val="4"/>
          <tx>
            <strRef>
              <f>Bewertung!$A$7</f>
            </strRef>
          </tx>
          <spPr>
            <a:solidFill>
              <a:srgbClr val="BF7014"/>
            </a:solidFill>
            <a:ln>
              <a:prstDash val="solid"/>
            </a:ln>
          </spPr>
          <xVal>
            <numRef>
              <f>'Bewertung'!$E$7</f>
            </numRef>
          </xVal>
          <yVal>
            <numRef>
              <f>'Bewertung'!$F$7</f>
            </numRef>
          </yVal>
          <bubbleSize>
            <numRef>
              <f>'Bewertung'!$G$7</f>
            </numRef>
          </bubbleSize>
          <bubble3D val="0"/>
        </ser>
        <axId val="10"/>
        <axId val="20"/>
      </bubbleChart>
      <valAx>
        <axId val="1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Automatisierbarkeit →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Umsetzbarkeit →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28" customWidth="1" min="4" max="4"/>
    <col width="30" customWidth="1" min="5" max="5"/>
  </cols>
  <sheetData>
    <row r="2">
      <c r="B2" s="1" t="inlineStr">
        <is>
          <t>KI-Readiness-Check — Bewertungsraster</t>
        </is>
      </c>
    </row>
    <row r="3">
      <c r="B3" s="2" t="inlineStr">
        <is>
          <t>Digitale Vorlage zur Nutzung während/nach dem Call. Nicht für Kunden — internes Arbeitswerkzeug.</t>
        </is>
      </c>
    </row>
    <row r="5">
      <c r="B5" s="3" t="inlineStr">
        <is>
          <t>So arbeitest du mit dieser Datei</t>
        </is>
      </c>
    </row>
    <row r="7">
      <c r="B7" s="4" t="inlineStr">
        <is>
          <t>1. Während des Calls</t>
        </is>
      </c>
    </row>
    <row r="8" ht="48" customHeight="1">
      <c r="B8" s="5" t="inlineStr">
        <is>
          <t>Trage jeden besprochenen Prozess im Blatt 'Prozesse' ein. Std./Woche direkt eintragen, wenn der Kunde das so sagt. Bei mehrteiligen Angaben (z. B. 'X mal pro Woche/Monat à Y Minuten') die Hilfsspalten C-E nutzen (Häufigkeit, Einheit Woche/Monat, Minuten pro Durchlauf) — Spalte F rechnet automatisch in Std./Woche um.</t>
        </is>
      </c>
    </row>
    <row r="10">
      <c r="B10" s="4" t="inlineStr">
        <is>
          <t>2. Direkt danach (noch im Call oder in den ersten Minuten danach)</t>
        </is>
      </c>
    </row>
    <row r="11" ht="48" customHeight="1">
      <c r="B11" s="5" t="inlineStr">
        <is>
          <t>Wechsle ins Blatt 'Bewertung'. Für jeden Prozess: Punkte 1/3/5 für Zeitaufwand, Automatisierbarkeit, Umsetzbarkeit aus dem Dropdown wählen. Zeitaufwand wird aus dem Prozesse-Blatt automatisch vorgeschlagen (Spalte D) — Automatisierbarkeit und Umsetzbarkeit wählst du selbst, anhand der Tabelle unten auf diesem Blatt.</t>
        </is>
      </c>
    </row>
    <row r="13">
      <c r="B13" s="4" t="inlineStr">
        <is>
          <t>3. Ergebnis</t>
        </is>
      </c>
    </row>
    <row r="14" ht="48" customHeight="1">
      <c r="B14" s="5" t="inlineStr">
        <is>
          <t>Score und Phase (Sofort / 3 Monate / Beobachten) berechnen sich automatisch. Die Prozesse sind nach Score sortierbar (Daten &gt; Sortieren, Spalte 'Score', absteigend) — das ergibt direkt die Prioritätsliste für den Prioritäts-Bogen.</t>
        </is>
      </c>
    </row>
    <row r="16">
      <c r="B16" s="4" t="inlineStr">
        <is>
          <t>4. Kein Sofort-Kandidat?</t>
        </is>
      </c>
    </row>
    <row r="17" ht="48" customHeight="1">
      <c r="B17" s="5" t="inlineStr">
        <is>
          <t>Wenn kein Prozess Score ≥ 60 erreicht, zeigt Spalte I einen Hinweis. Siehe Gesprächsframework Abschnitt 3.2 'Sonderfall' für die vorbereitete Antwort.</t>
        </is>
      </c>
    </row>
    <row r="19">
      <c r="B19" s="4" t="inlineStr">
        <is>
          <t>5. Matrix-Grafik</t>
        </is>
      </c>
    </row>
    <row r="20" ht="48" customHeight="1">
      <c r="B20" s="5" t="inlineStr">
        <is>
          <t>Im Blatt 'Bewertung' rechts neben der Tabelle: automatisch generiertes Blasendiagramm (Automatisierbarkeit × Umsetzbarkeit, Blasengröße = Score). Aktualisiert sich live, sobald Punkte eingetragen werden — deckt die ersten 5 Zeilen ab (Methodik-Norm: 3-5 Prozesse pro Check). Bei zwei Prozessen mit identischen Punktzahlen liegen die Blasen exakt übereinander — das ist korrekt abgebildet, keine Anzeigefehler. Vorlage für PDF-Seite 4 (dort als eigene, CI-gestaltete Grafik neu gezeichnet, diese Version ist zum Arbeiten/Vorab-Check gedacht, nicht 1:1 fürs Kunden-PDF).</t>
        </is>
      </c>
    </row>
    <row r="22">
      <c r="B22" s="3" t="inlineStr">
        <is>
          <t>Bewertungstabelle (fix, gleich für jeden Kunden)</t>
        </is>
      </c>
    </row>
    <row r="24">
      <c r="B24" s="6" t="inlineStr">
        <is>
          <t>Kriterium</t>
        </is>
      </c>
      <c r="C24" s="6" t="inlineStr">
        <is>
          <t>1 Punkt</t>
        </is>
      </c>
      <c r="D24" s="6" t="inlineStr">
        <is>
          <t>3 Punkte</t>
        </is>
      </c>
      <c r="E24" s="6" t="inlineStr">
        <is>
          <t>5 Punkte</t>
        </is>
      </c>
    </row>
    <row r="25" ht="60" customHeight="1">
      <c r="B25" s="7" t="inlineStr">
        <is>
          <t>Zeitaufwand
(Impact)</t>
        </is>
      </c>
      <c r="C25" s="7" t="inlineStr">
        <is>
          <t>&lt; 2 Std./Monat gesamt</t>
        </is>
      </c>
      <c r="D25" s="7" t="inlineStr">
        <is>
          <t>2–15 Std./Monat gesamt</t>
        </is>
      </c>
      <c r="E25" s="7" t="inlineStr">
        <is>
          <t>&gt; 15 Std./Monat gesamt</t>
        </is>
      </c>
    </row>
    <row r="26" ht="60" customHeight="1">
      <c r="B26" s="7" t="inlineStr">
        <is>
          <t>Automatisierbarkeit</t>
        </is>
      </c>
      <c r="C26" s="7" t="inlineStr">
        <is>
          <t>Stark individuell, viele
Ausnahmen, Bauchentscheidung</t>
        </is>
      </c>
      <c r="D26" s="7" t="inlineStr">
        <is>
          <t>Teilweise regelbasiert,
einige Ausnahmen</t>
        </is>
      </c>
      <c r="E26" s="7" t="inlineStr">
        <is>
          <t>Klar regelbasiert / strukturierte
Eingabe-Ausgabe, wenig Ausnahmen</t>
        </is>
      </c>
    </row>
    <row r="27" ht="60" customHeight="1">
      <c r="B27" s="7" t="inlineStr">
        <is>
          <t>Umsetzbarkeit
(Aufwand)</t>
        </is>
      </c>
      <c r="C27" s="7" t="inlineStr">
        <is>
          <t>Tiefe Systemintegration,
Change-Management, mehrere
Abteilungen</t>
        </is>
      </c>
      <c r="D27" s="7" t="inlineStr">
        <is>
          <t>Ein System, moderate
Einrichtung, ein Verantwortlicher</t>
        </is>
      </c>
      <c r="E27" s="7" t="inlineStr">
        <is>
          <t>Steht-Tool oder einfacher
Workflow, in Tagen umsetzbar</t>
        </is>
      </c>
    </row>
    <row r="29">
      <c r="B29" s="4" t="inlineStr">
        <is>
          <t>Score = Zeitaufwand × Automatisierbarkeit × Umsetzbarkeit (Produkt, 1–125)</t>
        </is>
      </c>
    </row>
    <row r="30">
      <c r="B30" s="8" t="inlineStr">
        <is>
          <t>Schwellen: ≥ 60 = Sofort · 20–59 = 3 Monate · &lt; 20 = Beobachten</t>
        </is>
      </c>
    </row>
    <row r="32">
      <c r="B32" s="2" t="inlineStr">
        <is>
          <t>Std./Woche → Std./Monat: × 4,33 (Umrechnungsfaktor, bereits in den Formeln hinterlegt)</t>
        </is>
      </c>
    </row>
  </sheetData>
  <mergeCells count="10">
    <mergeCell ref="B13:C13"/>
    <mergeCell ref="B16:C16"/>
    <mergeCell ref="B7:C7"/>
    <mergeCell ref="B11:C11"/>
    <mergeCell ref="B19:C19"/>
    <mergeCell ref="B20:C20"/>
    <mergeCell ref="B10:C10"/>
    <mergeCell ref="B14:C14"/>
    <mergeCell ref="B17:C17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32" customWidth="1" min="7" max="7"/>
    <col width="24" customWidth="1" min="8" max="8"/>
    <col width="14" customWidth="1" min="9" max="9"/>
    <col width="34" customWidth="1" min="10" max="10"/>
  </cols>
  <sheetData>
    <row r="1">
      <c r="A1" s="2" t="inlineStr">
        <is>
          <t>Rohdaten pro Prozess — trage entweder Spalte B direkt ein, oder nutze C+D+E als Rechenhilfe (Häufigkeit × Minuten, Einheit Woche/Monat wählen — Spalte F rechnet automatisch in Std./Woche um).</t>
        </is>
      </c>
    </row>
    <row r="2" ht="46" customHeight="1">
      <c r="A2" s="9" t="inlineStr">
        <is>
          <t>Prozess</t>
        </is>
      </c>
      <c r="B2" s="9" t="inlineStr">
        <is>
          <t>Std./Woche
(direkt, falls bekannt)</t>
        </is>
      </c>
      <c r="C2" s="9" t="inlineStr">
        <is>
          <t>Häufigkeit
(Hilfsspalte)</t>
        </is>
      </c>
      <c r="D2" s="9" t="inlineStr">
        <is>
          <t>Einheit
(Woche/Monat wählen)</t>
        </is>
      </c>
      <c r="E2" s="9" t="inlineStr">
        <is>
          <t>Min. pro Durchlauf
(Hilfsspalte)</t>
        </is>
      </c>
      <c r="F2" s="9" t="inlineStr">
        <is>
          <t>→ Std./Woche
(berechnet aus Hilfsspalten)</t>
        </is>
      </c>
      <c r="G2" s="9" t="inlineStr">
        <is>
          <t>Kurzbeschreibung</t>
        </is>
      </c>
      <c r="H2" s="9" t="inlineStr">
        <is>
          <t>Werkzeug/System heute</t>
        </is>
      </c>
      <c r="I2" s="9" t="inlineStr">
        <is>
          <t>Fehlerquote (%)</t>
        </is>
      </c>
      <c r="J2" s="9" t="inlineStr">
        <is>
          <t>Was würde mit der Zeit passieren</t>
        </is>
      </c>
    </row>
    <row r="3" ht="34" customHeight="1">
      <c r="A3" s="7" t="n"/>
      <c r="B3" s="7" t="n"/>
      <c r="C3" s="7" t="n"/>
      <c r="D3" s="7" t="n"/>
      <c r="E3" s="7" t="n"/>
      <c r="F3" s="7">
        <f>IF(AND(C3&lt;&gt;"",E3&lt;&gt;""),IF(D3="Monat",C3*E3/60/4.33,C3*E3/60),B3)</f>
        <v/>
      </c>
      <c r="G3" s="7" t="n"/>
      <c r="H3" s="7" t="n"/>
      <c r="I3" s="7" t="n"/>
      <c r="J3" s="7" t="n"/>
    </row>
    <row r="4" ht="34" customHeight="1">
      <c r="A4" s="7" t="n"/>
      <c r="B4" s="7" t="n"/>
      <c r="C4" s="7" t="n"/>
      <c r="D4" s="7" t="n"/>
      <c r="E4" s="7" t="n"/>
      <c r="F4" s="7">
        <f>IF(AND(C4&lt;&gt;"",E4&lt;&gt;""),IF(D4="Monat",C4*E4/60/4.33,C4*E4/60),B4)</f>
        <v/>
      </c>
      <c r="G4" s="7" t="n"/>
      <c r="H4" s="7" t="n"/>
      <c r="I4" s="7" t="n"/>
      <c r="J4" s="7" t="n"/>
    </row>
    <row r="5" ht="34" customHeight="1">
      <c r="A5" s="7" t="n"/>
      <c r="B5" s="7" t="n"/>
      <c r="C5" s="7" t="n"/>
      <c r="D5" s="7" t="n"/>
      <c r="E5" s="7" t="n"/>
      <c r="F5" s="7">
        <f>IF(AND(C5&lt;&gt;"",E5&lt;&gt;""),IF(D5="Monat",C5*E5/60/4.33,C5*E5/60),B5)</f>
        <v/>
      </c>
      <c r="G5" s="7" t="n"/>
      <c r="H5" s="7" t="n"/>
      <c r="I5" s="7" t="n"/>
      <c r="J5" s="7" t="n"/>
    </row>
    <row r="6" ht="34" customHeight="1">
      <c r="A6" s="7" t="n"/>
      <c r="B6" s="7" t="n"/>
      <c r="C6" s="7" t="n"/>
      <c r="D6" s="7" t="n"/>
      <c r="E6" s="7" t="n"/>
      <c r="F6" s="7">
        <f>IF(AND(C6&lt;&gt;"",E6&lt;&gt;""),IF(D6="Monat",C6*E6/60/4.33,C6*E6/60),B6)</f>
        <v/>
      </c>
      <c r="G6" s="7" t="n"/>
      <c r="H6" s="7" t="n"/>
      <c r="I6" s="7" t="n"/>
      <c r="J6" s="7" t="n"/>
    </row>
    <row r="7" ht="34" customHeight="1">
      <c r="A7" s="7" t="n"/>
      <c r="B7" s="7" t="n"/>
      <c r="C7" s="7" t="n"/>
      <c r="D7" s="7" t="n"/>
      <c r="E7" s="7" t="n"/>
      <c r="F7" s="7">
        <f>IF(AND(C7&lt;&gt;"",E7&lt;&gt;""),IF(D7="Monat",C7*E7/60/4.33,C7*E7/60),B7)</f>
        <v/>
      </c>
      <c r="G7" s="7" t="n"/>
      <c r="H7" s="7" t="n"/>
      <c r="I7" s="7" t="n"/>
      <c r="J7" s="7" t="n"/>
    </row>
    <row r="8" ht="34" customHeight="1">
      <c r="A8" s="7" t="n"/>
      <c r="B8" s="7" t="n"/>
      <c r="C8" s="7" t="n"/>
      <c r="D8" s="7" t="n"/>
      <c r="E8" s="7" t="n"/>
      <c r="F8" s="7">
        <f>IF(AND(C8&lt;&gt;"",E8&lt;&gt;""),IF(D8="Monat",C8*E8/60/4.33,C8*E8/60),B8)</f>
        <v/>
      </c>
      <c r="G8" s="7" t="n"/>
      <c r="H8" s="7" t="n"/>
      <c r="I8" s="7" t="n"/>
      <c r="J8" s="7" t="n"/>
    </row>
    <row r="9" ht="34" customHeight="1">
      <c r="A9" s="7" t="n"/>
      <c r="B9" s="7" t="n"/>
      <c r="C9" s="7" t="n"/>
      <c r="D9" s="7" t="n"/>
      <c r="E9" s="7" t="n"/>
      <c r="F9" s="7">
        <f>IF(AND(C9&lt;&gt;"",E9&lt;&gt;""),IF(D9="Monat",C9*E9/60/4.33,C9*E9/60),B9)</f>
        <v/>
      </c>
      <c r="G9" s="7" t="n"/>
      <c r="H9" s="7" t="n"/>
      <c r="I9" s="7" t="n"/>
      <c r="J9" s="7" t="n"/>
    </row>
    <row r="10" ht="34" customHeight="1">
      <c r="A10" s="7" t="n"/>
      <c r="B10" s="7" t="n"/>
      <c r="C10" s="7" t="n"/>
      <c r="D10" s="7" t="n"/>
      <c r="E10" s="7" t="n"/>
      <c r="F10" s="7">
        <f>IF(AND(C10&lt;&gt;"",E10&lt;&gt;""),IF(D10="Monat",C10*E10/60/4.33,C10*E10/60),B10)</f>
        <v/>
      </c>
      <c r="G10" s="7" t="n"/>
      <c r="H10" s="7" t="n"/>
      <c r="I10" s="7" t="n"/>
      <c r="J10" s="7" t="n"/>
    </row>
    <row r="11" ht="34" customHeight="1">
      <c r="A11" s="7" t="n"/>
      <c r="B11" s="7" t="n"/>
      <c r="C11" s="7" t="n"/>
      <c r="D11" s="7" t="n"/>
      <c r="E11" s="7" t="n"/>
      <c r="F11" s="7">
        <f>IF(AND(C11&lt;&gt;"",E11&lt;&gt;""),IF(D11="Monat",C11*E11/60/4.33,C11*E11/60),B11)</f>
        <v/>
      </c>
      <c r="G11" s="7" t="n"/>
      <c r="H11" s="7" t="n"/>
      <c r="I11" s="7" t="n"/>
      <c r="J11" s="7" t="n"/>
    </row>
    <row r="12" ht="34" customHeight="1">
      <c r="A12" s="7" t="n"/>
      <c r="B12" s="7" t="n"/>
      <c r="C12" s="7" t="n"/>
      <c r="D12" s="7" t="n"/>
      <c r="E12" s="7" t="n"/>
      <c r="F12" s="7">
        <f>IF(AND(C12&lt;&gt;"",E12&lt;&gt;""),IF(D12="Monat",C12*E12/60/4.33,C12*E12/60),B12)</f>
        <v/>
      </c>
      <c r="G12" s="7" t="n"/>
      <c r="H12" s="7" t="n"/>
      <c r="I12" s="7" t="n"/>
      <c r="J12" s="7" t="n"/>
    </row>
  </sheetData>
  <mergeCells count="1">
    <mergeCell ref="A1:J1"/>
  </mergeCells>
  <dataValidations count="1">
    <dataValidation sqref="D3 D4 D5 D6 D7 D8 D9 D10 D11 D12" showDropDown="0" showInputMessage="0" showErrorMessage="0" allowBlank="1" type="list">
      <formula1>"Woche,Monat"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20" customWidth="1" min="5" max="5"/>
    <col width="18" customWidth="1" min="6" max="6"/>
    <col width="12" customWidth="1" min="7" max="7"/>
    <col width="14" customWidth="1" min="8" max="8"/>
    <col width="30" customWidth="1" min="9" max="9"/>
  </cols>
  <sheetData>
    <row r="1">
      <c r="A1" s="2" t="inlineStr">
        <is>
          <t>Ergebnis: Score und Phase berechnen sich automatisch. Nach Score sortieren (Daten &gt; Sortieren) für die Prioritätsliste.</t>
        </is>
      </c>
    </row>
    <row r="2" ht="46" customHeight="1">
      <c r="A2" s="9" t="inlineStr">
        <is>
          <t>Prozess</t>
        </is>
      </c>
      <c r="B2" s="9" t="inlineStr">
        <is>
          <t>Std./Woche
(aus 'Prozesse')</t>
        </is>
      </c>
      <c r="C2" s="9" t="inlineStr">
        <is>
          <t>Std./Monat
(×4,33, automatisch)</t>
        </is>
      </c>
      <c r="D2" s="9" t="inlineStr">
        <is>
          <t>Zeitaufwand
(Vorschlag)</t>
        </is>
      </c>
      <c r="E2" s="9" t="inlineStr">
        <is>
          <t>Automatisierbarkeit
(1/3/5 wählen)</t>
        </is>
      </c>
      <c r="F2" s="9" t="inlineStr">
        <is>
          <t>Umsetzbarkeit
(1/3/5 wählen)</t>
        </is>
      </c>
      <c r="G2" s="9" t="inlineStr">
        <is>
          <t>Score
(automatisch)</t>
        </is>
      </c>
      <c r="H2" s="9" t="inlineStr">
        <is>
          <t>Phase
(automatisch)</t>
        </is>
      </c>
      <c r="I2" s="9" t="inlineStr">
        <is>
          <t>Hinweis</t>
        </is>
      </c>
    </row>
    <row r="3" ht="20" customHeight="1">
      <c r="A3" s="10">
        <f>IF(Prozesse!A3="","",Prozesse!A3)</f>
        <v/>
      </c>
      <c r="B3" s="11">
        <f>IF(Prozesse!F3="","",Prozesse!F3)</f>
        <v/>
      </c>
      <c r="C3" s="11">
        <f>IF(B3="","",B3*4.33)</f>
        <v/>
      </c>
      <c r="D3" s="11">
        <f>IF(C3="","",IF(C3&lt;2,1,IF(C3&lt;=15,3,5)))</f>
        <v/>
      </c>
      <c r="E3" s="11" t="n"/>
      <c r="F3" s="11" t="n"/>
      <c r="G3" s="11">
        <f>IF(OR(D3="",E3="",F3=""),"",D3*E3*F3)</f>
        <v/>
      </c>
      <c r="H3" s="11">
        <f>IF(G3="","",IF(G3&gt;=60,"Sofort",IF(G3&gt;=20,"3 Monate","Beobachten")))</f>
        <v/>
      </c>
      <c r="I3" s="11" t="inlineStr"/>
    </row>
    <row r="4" ht="20" customHeight="1">
      <c r="A4" s="10">
        <f>IF(Prozesse!A4="","",Prozesse!A4)</f>
        <v/>
      </c>
      <c r="B4" s="11">
        <f>IF(Prozesse!F4="","",Prozesse!F4)</f>
        <v/>
      </c>
      <c r="C4" s="11">
        <f>IF(B4="","",B4*4.33)</f>
        <v/>
      </c>
      <c r="D4" s="11">
        <f>IF(C4="","",IF(C4&lt;2,1,IF(C4&lt;=15,3,5)))</f>
        <v/>
      </c>
      <c r="E4" s="11" t="n"/>
      <c r="F4" s="11" t="n"/>
      <c r="G4" s="11">
        <f>IF(OR(D4="",E4="",F4=""),"",D4*E4*F4)</f>
        <v/>
      </c>
      <c r="H4" s="11">
        <f>IF(G4="","",IF(G4&gt;=60,"Sofort",IF(G4&gt;=20,"3 Monate","Beobachten")))</f>
        <v/>
      </c>
      <c r="I4" s="11" t="inlineStr"/>
    </row>
    <row r="5" ht="20" customHeight="1">
      <c r="A5" s="10">
        <f>IF(Prozesse!A5="","",Prozesse!A5)</f>
        <v/>
      </c>
      <c r="B5" s="11">
        <f>IF(Prozesse!F5="","",Prozesse!F5)</f>
        <v/>
      </c>
      <c r="C5" s="11">
        <f>IF(B5="","",B5*4.33)</f>
        <v/>
      </c>
      <c r="D5" s="11">
        <f>IF(C5="","",IF(C5&lt;2,1,IF(C5&lt;=15,3,5)))</f>
        <v/>
      </c>
      <c r="E5" s="11" t="n"/>
      <c r="F5" s="11" t="n"/>
      <c r="G5" s="11">
        <f>IF(OR(D5="",E5="",F5=""),"",D5*E5*F5)</f>
        <v/>
      </c>
      <c r="H5" s="11">
        <f>IF(G5="","",IF(G5&gt;=60,"Sofort",IF(G5&gt;=20,"3 Monate","Beobachten")))</f>
        <v/>
      </c>
      <c r="I5" s="11" t="inlineStr"/>
    </row>
    <row r="6" ht="20" customHeight="1">
      <c r="A6" s="10">
        <f>IF(Prozesse!A6="","",Prozesse!A6)</f>
        <v/>
      </c>
      <c r="B6" s="11">
        <f>IF(Prozesse!F6="","",Prozesse!F6)</f>
        <v/>
      </c>
      <c r="C6" s="11">
        <f>IF(B6="","",B6*4.33)</f>
        <v/>
      </c>
      <c r="D6" s="11">
        <f>IF(C6="","",IF(C6&lt;2,1,IF(C6&lt;=15,3,5)))</f>
        <v/>
      </c>
      <c r="E6" s="11" t="n"/>
      <c r="F6" s="11" t="n"/>
      <c r="G6" s="11">
        <f>IF(OR(D6="",E6="",F6=""),"",D6*E6*F6)</f>
        <v/>
      </c>
      <c r="H6" s="11">
        <f>IF(G6="","",IF(G6&gt;=60,"Sofort",IF(G6&gt;=20,"3 Monate","Beobachten")))</f>
        <v/>
      </c>
      <c r="I6" s="11" t="inlineStr"/>
    </row>
    <row r="7" ht="20" customHeight="1">
      <c r="A7" s="10">
        <f>IF(Prozesse!A7="","",Prozesse!A7)</f>
        <v/>
      </c>
      <c r="B7" s="11">
        <f>IF(Prozesse!F7="","",Prozesse!F7)</f>
        <v/>
      </c>
      <c r="C7" s="11">
        <f>IF(B7="","",B7*4.33)</f>
        <v/>
      </c>
      <c r="D7" s="11">
        <f>IF(C7="","",IF(C7&lt;2,1,IF(C7&lt;=15,3,5)))</f>
        <v/>
      </c>
      <c r="E7" s="11" t="n"/>
      <c r="F7" s="11" t="n"/>
      <c r="G7" s="11">
        <f>IF(OR(D7="",E7="",F7=""),"",D7*E7*F7)</f>
        <v/>
      </c>
      <c r="H7" s="11">
        <f>IF(G7="","",IF(G7&gt;=60,"Sofort",IF(G7&gt;=20,"3 Monate","Beobachten")))</f>
        <v/>
      </c>
      <c r="I7" s="11" t="inlineStr"/>
    </row>
    <row r="8" ht="20" customHeight="1">
      <c r="A8" s="10">
        <f>IF(Prozesse!A8="","",Prozesse!A8)</f>
        <v/>
      </c>
      <c r="B8" s="11">
        <f>IF(Prozesse!F8="","",Prozesse!F8)</f>
        <v/>
      </c>
      <c r="C8" s="11">
        <f>IF(B8="","",B8*4.33)</f>
        <v/>
      </c>
      <c r="D8" s="11">
        <f>IF(C8="","",IF(C8&lt;2,1,IF(C8&lt;=15,3,5)))</f>
        <v/>
      </c>
      <c r="E8" s="11" t="n"/>
      <c r="F8" s="11" t="n"/>
      <c r="G8" s="11">
        <f>IF(OR(D8="",E8="",F8=""),"",D8*E8*F8)</f>
        <v/>
      </c>
      <c r="H8" s="11">
        <f>IF(G8="","",IF(G8&gt;=60,"Sofort",IF(G8&gt;=20,"3 Monate","Beobachten")))</f>
        <v/>
      </c>
      <c r="I8" s="11" t="inlineStr"/>
    </row>
    <row r="9" ht="20" customHeight="1">
      <c r="A9" s="10">
        <f>IF(Prozesse!A9="","",Prozesse!A9)</f>
        <v/>
      </c>
      <c r="B9" s="11">
        <f>IF(Prozesse!F9="","",Prozesse!F9)</f>
        <v/>
      </c>
      <c r="C9" s="11">
        <f>IF(B9="","",B9*4.33)</f>
        <v/>
      </c>
      <c r="D9" s="11">
        <f>IF(C9="","",IF(C9&lt;2,1,IF(C9&lt;=15,3,5)))</f>
        <v/>
      </c>
      <c r="E9" s="11" t="n"/>
      <c r="F9" s="11" t="n"/>
      <c r="G9" s="11">
        <f>IF(OR(D9="",E9="",F9=""),"",D9*E9*F9)</f>
        <v/>
      </c>
      <c r="H9" s="11">
        <f>IF(G9="","",IF(G9&gt;=60,"Sofort",IF(G9&gt;=20,"3 Monate","Beobachten")))</f>
        <v/>
      </c>
      <c r="I9" s="11" t="inlineStr"/>
    </row>
    <row r="10" ht="20" customHeight="1">
      <c r="A10" s="10">
        <f>IF(Prozesse!A10="","",Prozesse!A10)</f>
        <v/>
      </c>
      <c r="B10" s="11">
        <f>IF(Prozesse!F10="","",Prozesse!F10)</f>
        <v/>
      </c>
      <c r="C10" s="11">
        <f>IF(B10="","",B10*4.33)</f>
        <v/>
      </c>
      <c r="D10" s="11">
        <f>IF(C10="","",IF(C10&lt;2,1,IF(C10&lt;=15,3,5)))</f>
        <v/>
      </c>
      <c r="E10" s="11" t="n"/>
      <c r="F10" s="11" t="n"/>
      <c r="G10" s="11">
        <f>IF(OR(D10="",E10="",F10=""),"",D10*E10*F10)</f>
        <v/>
      </c>
      <c r="H10" s="11">
        <f>IF(G10="","",IF(G10&gt;=60,"Sofort",IF(G10&gt;=20,"3 Monate","Beobachten")))</f>
        <v/>
      </c>
      <c r="I10" s="11" t="inlineStr"/>
    </row>
    <row r="11" ht="20" customHeight="1">
      <c r="A11" s="10">
        <f>IF(Prozesse!A11="","",Prozesse!A11)</f>
        <v/>
      </c>
      <c r="B11" s="11">
        <f>IF(Prozesse!F11="","",Prozesse!F11)</f>
        <v/>
      </c>
      <c r="C11" s="11">
        <f>IF(B11="","",B11*4.33)</f>
        <v/>
      </c>
      <c r="D11" s="11">
        <f>IF(C11="","",IF(C11&lt;2,1,IF(C11&lt;=15,3,5)))</f>
        <v/>
      </c>
      <c r="E11" s="11" t="n"/>
      <c r="F11" s="11" t="n"/>
      <c r="G11" s="11">
        <f>IF(OR(D11="",E11="",F11=""),"",D11*E11*F11)</f>
        <v/>
      </c>
      <c r="H11" s="11">
        <f>IF(G11="","",IF(G11&gt;=60,"Sofort",IF(G11&gt;=20,"3 Monate","Beobachten")))</f>
        <v/>
      </c>
      <c r="I11" s="11" t="inlineStr"/>
    </row>
    <row r="12" ht="20" customHeight="1">
      <c r="A12" s="10">
        <f>IF(Prozesse!A12="","",Prozesse!A12)</f>
        <v/>
      </c>
      <c r="B12" s="11">
        <f>IF(Prozesse!F12="","",Prozesse!F12)</f>
        <v/>
      </c>
      <c r="C12" s="11">
        <f>IF(B12="","",B12*4.33)</f>
        <v/>
      </c>
      <c r="D12" s="11">
        <f>IF(C12="","",IF(C12&lt;2,1,IF(C12&lt;=15,3,5)))</f>
        <v/>
      </c>
      <c r="E12" s="11" t="n"/>
      <c r="F12" s="11" t="n"/>
      <c r="G12" s="11">
        <f>IF(OR(D12="",E12="",F12=""),"",D12*E12*F12)</f>
        <v/>
      </c>
      <c r="H12" s="11">
        <f>IF(G12="","",IF(G12&gt;=60,"Sofort",IF(G12&gt;=20,"3 Monate","Beobachten")))</f>
        <v/>
      </c>
      <c r="I12" s="11" t="inlineStr"/>
    </row>
    <row r="15">
      <c r="A15" s="4" t="inlineStr">
        <is>
          <t>Sonderfall-Check: Kein Prozess ≥ 60?</t>
        </is>
      </c>
    </row>
    <row r="16" ht="34" customHeight="1">
      <c r="A16" s="12">
        <f>IF(COUNTIF(H3:H12,"Sofort")=0,"⚠ Kein Sofort-Kandidat — siehe Gesprächsframework Abschnitt 3.2 (Sonderfall) für die vorbereitete Antwort und den stärksten Phase-2-Kandidaten als Ausweichpunkt.","✓ Mindestens ein Sofort-Kandidat vorhanden.")</f>
        <v/>
      </c>
    </row>
  </sheetData>
  <mergeCells count="2">
    <mergeCell ref="A1:I1"/>
    <mergeCell ref="A16:I16"/>
  </mergeCells>
  <conditionalFormatting sqref="H3:H12">
    <cfRule type="expression" priority="1" dxfId="0">
      <formula>H3="Sofort"</formula>
    </cfRule>
    <cfRule type="expression" priority="2" dxfId="1">
      <formula>H3="3 Monate"</formula>
    </cfRule>
    <cfRule type="expression" priority="3" dxfId="2">
      <formula>H3="Beobachten"</formula>
    </cfRule>
  </conditionalFormatting>
  <conditionalFormatting sqref="A16">
    <cfRule type="expression" priority="4" dxfId="1">
      <formula>LEFT(A16,1)="⚠"</formula>
    </cfRule>
  </conditionalFormatting>
  <dataValidations count="1">
    <dataValidation sqref="E3 E4 E5 E6 E7 E8 E9 E10 E11 E12 F3 F4 F5 F6 F7 F8 F9 F10 F11 F12" showDropDown="0" showInputMessage="0" showErrorMessage="0" allowBlank="1" type="list">
      <formula1>"1,3,5"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2026-09-21T11:24:35Z</dcterms:created>
  <dcterms:modified xsi:type="dcterms:W3CDTF">2026-09-21T11:24:35Z</dcterms:modified>
</cp:coreProperties>
</file>